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20" windowHeight="15200" activeTab="1"/>
  </bookViews>
  <sheets>
    <sheet name="总览" sheetId="1" r:id="rId1"/>
    <sheet name="详细用例" sheetId="2" r:id="rId2"/>
    <sheet name="规则与边界" sheetId="3" r:id="rId3"/>
  </sheets>
  <definedNames>
    <definedName name="_xlnm._FilterDatabase" localSheetId="1" hidden="1">详细用例!$D$1:$D$49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<sst xmlns="http://schemas.openxmlformats.org/spreadsheetml/2006/main" count="802" uniqueCount="315">
  <si>
    <t>ABC Test 分组验收总览</t>
  </si>
  <si>
    <t>统计项</t>
  </si>
  <si>
    <t>数量</t>
  </si>
  <si>
    <t>测试目标</t>
  </si>
  <si>
    <t>确保老用户全部归 A，新用户在 timeA 后按新版本 ABC 策略分组。</t>
  </si>
  <si>
    <t/>
  </si>
  <si>
    <t>总用例数</t>
  </si>
  <si>
    <t>核心原则</t>
  </si>
  <si>
    <t>老用户最终 A；新用户新版本可 ABC；用户表 user_group 已有值时优先稳定返回。</t>
  </si>
  <si>
    <t>P0 用例数</t>
  </si>
  <si>
    <t>老版本限制</t>
  </si>
  <si>
    <t>老版本没有 URL_user_group_init/msg，只能靠 config/get。</t>
  </si>
  <si>
    <t>P1 用例数</t>
  </si>
  <si>
    <t>推荐边界</t>
  </si>
  <si>
    <t>register_time &lt; timeA 为老用户；register_time &gt;= timeA 为新用户。</t>
  </si>
  <si>
    <t>待测</t>
  </si>
  <si>
    <t>验收方式</t>
  </si>
  <si>
    <t>在「详细用例」逐条填写验收状态、实测结果和备注。</t>
  </si>
  <si>
    <t>通过</t>
  </si>
  <si>
    <t>重要待确认</t>
  </si>
  <si>
    <t>timeA 后用老版本注册的新用户是否统一 A；老用户 B/C 脏数据是否覆盖；同设备多账号策略。</t>
  </si>
  <si>
    <t>未通过</t>
  </si>
  <si>
    <t>文件用途</t>
  </si>
  <si>
    <t>供测试、产品、后台按同一口径逐条验收。</t>
  </si>
  <si>
    <t>阻塞</t>
  </si>
  <si>
    <t>用例ID</t>
  </si>
  <si>
    <t>模块/场景</t>
  </si>
  <si>
    <t>用户类型</t>
  </si>
  <si>
    <t>App版本</t>
  </si>
  <si>
    <t>登录状态</t>
  </si>
  <si>
    <t>注册时间/边界</t>
  </si>
  <si>
    <t>user_group前置</t>
  </si>
  <si>
    <t>设备分组前置</t>
  </si>
  <si>
    <t>触发接口</t>
  </si>
  <si>
    <t>操作步骤</t>
  </si>
  <si>
    <t>预期结果</t>
  </si>
  <si>
    <t>优先级</t>
  </si>
  <si>
    <t>验收状态</t>
  </si>
  <si>
    <t>实测结果</t>
  </si>
  <si>
    <t>备注</t>
  </si>
  <si>
    <t>TC-001</t>
  </si>
  <si>
    <t>老版本基础</t>
  </si>
  <si>
    <t>老用户</t>
  </si>
  <si>
    <t>老版本</t>
  </si>
  <si>
    <t>已登录</t>
  </si>
  <si>
    <t>register_time &lt; timeA</t>
  </si>
  <si>
    <t>空</t>
  </si>
  <si>
    <t>无</t>
  </si>
  <si>
    <t>config/get</t>
  </si>
  <si>
    <t>老用户在老版本已登录状态打开 App，触发 config/get。</t>
  </si>
  <si>
    <t>返回 A；后台写入或保持 user_group=A；不调用 URL_user_group_init/msg。</t>
  </si>
  <si>
    <t>P0</t>
  </si>
  <si>
    <t>A</t>
  </si>
  <si>
    <t>TC-002</t>
  </si>
  <si>
    <t>老用户在老版本已登录状态打开 App。</t>
  </si>
  <si>
    <t>返回 A；user_group 保持 A。</t>
  </si>
  <si>
    <t>TC-003</t>
  </si>
  <si>
    <t>老版本登录</t>
  </si>
  <si>
    <t>未登录后登录</t>
  </si>
  <si>
    <t>老用户先未登录打开老版本，再完成登录。</t>
  </si>
  <si>
    <t>登录后通过 config/get 返回 A；后台写入 A。</t>
  </si>
  <si>
    <t>TC-004</t>
  </si>
  <si>
    <t>老版本未登录</t>
  </si>
  <si>
    <t>未知用户</t>
  </si>
  <si>
    <t>未登录</t>
  </si>
  <si>
    <t>无用户注册时间</t>
  </si>
  <si>
    <t>未登录状态打开老版本。</t>
  </si>
  <si>
    <t>不调用 URL_user_group_init/msg；config/get 返回老版本兼容配置；不能出现 B/C 用户实验能力。</t>
  </si>
  <si>
    <t>P1</t>
  </si>
  <si>
    <t>不适用</t>
  </si>
  <si>
    <t>没有测，没登录的不用测</t>
  </si>
  <si>
    <t>TC-005</t>
  </si>
  <si>
    <t>老版本新注册</t>
  </si>
  <si>
    <t>新用户</t>
  </si>
  <si>
    <t>注册/登录</t>
  </si>
  <si>
    <t>register_time &gt;= timeA</t>
  </si>
  <si>
    <t>用户在 timeA 后使用老版本注册或登录。</t>
  </si>
  <si>
    <t>因老版本没有 ABC 接口，需按兼容策略处理；建议返回 A 或默认兼容组，不能依赖 URL_user_group_init/msg。</t>
  </si>
  <si>
    <t>需产品/后台确认老版本新注册用户是否统一 A。</t>
  </si>
  <si>
    <t>TC-006</t>
  </si>
  <si>
    <t>新版本老用户</t>
  </si>
  <si>
    <t>新版本</t>
  </si>
  <si>
    <t>老用户已登录状态启动新版本。</t>
  </si>
  <si>
    <t>返回 A；后台写入 user_group=A。</t>
  </si>
  <si>
    <t>TC-007</t>
  </si>
  <si>
    <t>TC-008</t>
  </si>
  <si>
    <t>异常数据纠正</t>
  </si>
  <si>
    <t>B/C</t>
  </si>
  <si>
    <t>config/get 或 URL_user_group_msg</t>
  </si>
  <si>
    <t>构造老用户 user_group 已异常为 B 或 C 后启动新版本。</t>
  </si>
  <si>
    <t>建议后台纠正并返回 A；至少最终体验必须为 A。</t>
  </si>
  <si>
    <t>确认后台是否允许覆盖脏数据。</t>
  </si>
  <si>
    <t>TC-009</t>
  </si>
  <si>
    <t>新版本未登录初始化</t>
  </si>
  <si>
    <t>老用户但未识别</t>
  </si>
  <si>
    <t>URL_user_group_init</t>
  </si>
  <si>
    <t>老用户未登录状态启动新版本。</t>
  </si>
  <si>
    <t>可按 deviceId 生成临时 A/B/C；该值不能作为登录后的最终用户组。</t>
  </si>
  <si>
    <t>用户注册时间是肯定有的</t>
  </si>
  <si>
    <t>TC-010</t>
  </si>
  <si>
    <t>新版本老用户绑定</t>
  </si>
  <si>
    <t>URL_user_group_msg</t>
  </si>
  <si>
    <t>未登录 init 得到 B 或 C，随后登录老账号。</t>
  </si>
  <si>
    <t>后台按注册时间识别老用户，返回 A，并写入 user_group=A。</t>
  </si>
  <si>
    <t>TC-011</t>
  </si>
  <si>
    <t>未登录 init 得到 A，随后登录老账号。</t>
  </si>
  <si>
    <t>返回 A，并写入 user_group=A。</t>
  </si>
  <si>
    <t>TC-012</t>
  </si>
  <si>
    <t>任意</t>
  </si>
  <si>
    <t>已有 user_group=A 的老用户登录新版本。</t>
  </si>
  <si>
    <t>返回 A；不重新分组。</t>
  </si>
  <si>
    <t xml:space="preserve">A </t>
  </si>
  <si>
    <t>TC-013</t>
  </si>
  <si>
    <t>多设备一致性</t>
  </si>
  <si>
    <t>多设备登录</t>
  </si>
  <si>
    <t>空或 A</t>
  </si>
  <si>
    <t>设备1=B，设备2=C</t>
  </si>
  <si>
    <t>同一老用户分别在两台设备登录。</t>
  </si>
  <si>
    <t>两台设备最终均返回 A；用户表最终为 A。</t>
  </si>
  <si>
    <t>TC-014</t>
  </si>
  <si>
    <t>新用户初始化</t>
  </si>
  <si>
    <t>尚未注册</t>
  </si>
  <si>
    <t>deviceId=device1</t>
  </si>
  <si>
    <t>新设备未登录启动新版本。</t>
  </si>
  <si>
    <t>根据 deviceId hash 稳定返回 A/B/C 中一个临时设备组。</t>
  </si>
  <si>
    <t>TC-015</t>
  </si>
  <si>
    <t>新用户绑定</t>
  </si>
  <si>
    <t>注册后登录</t>
  </si>
  <si>
    <t>B</t>
  </si>
  <si>
    <t>init 得到 B 后注册/登录。</t>
  </si>
  <si>
    <t>绑定并返回 B；用户表写入 B。</t>
  </si>
  <si>
    <t xml:space="preserve">B </t>
  </si>
  <si>
    <t>TC-016</t>
  </si>
  <si>
    <t>C</t>
  </si>
  <si>
    <t>init 得到 C 后注册/登录。</t>
  </si>
  <si>
    <t>绑定并返回 C；用户表写入 C。</t>
  </si>
  <si>
    <t>TC-017</t>
  </si>
  <si>
    <t>init 得到 A 后注册/登录。</t>
  </si>
  <si>
    <t>绑定并返回 A；用户表写入 A。</t>
  </si>
  <si>
    <t>TC-018</t>
  </si>
  <si>
    <t>新用户已分组</t>
  </si>
  <si>
    <t>已有 user_group=B 的新用户启动新版本。</t>
  </si>
  <si>
    <t>返回 B；不重新 hash。</t>
  </si>
  <si>
    <t>TC-019</t>
  </si>
  <si>
    <t>换设备一致性</t>
  </si>
  <si>
    <t>新设备 hash=A/B</t>
  </si>
  <si>
    <t>已有 user_group=C 的新用户换设备登录。</t>
  </si>
  <si>
    <t>返回用户表已有 C；不被新设备 hash 覆盖。</t>
  </si>
  <si>
    <t>TC-020</t>
  </si>
  <si>
    <t>初始化失败兜底</t>
  </si>
  <si>
    <t>init 未成功</t>
  </si>
  <si>
    <t>跳过或模拟 URL_user_group_init 失败后注册/登录。</t>
  </si>
  <si>
    <t>后台有兜底分组策略，返回 A/B/C 中一个有效组并写入用户表；不能返回空。</t>
  </si>
  <si>
    <t>TC-021</t>
  </si>
  <si>
    <t>deviceId 稳定性</t>
  </si>
  <si>
    <t>同一 deviceId</t>
  </si>
  <si>
    <t>同一 deviceId 多次调用 init。</t>
  </si>
  <si>
    <t>每次返回相同组。</t>
  </si>
  <si>
    <t>哈希算法，deviceid不变，分组就不会变</t>
  </si>
  <si>
    <t>TC-022</t>
  </si>
  <si>
    <t>新设备 hash=C</t>
  </si>
  <si>
    <t>账号已绑定 B 后在新设备登录。</t>
  </si>
  <si>
    <t>最终返回账号已有 B。</t>
  </si>
  <si>
    <t>TC-023</t>
  </si>
  <si>
    <t>升级路径</t>
  </si>
  <si>
    <t>老版本 -&gt; 新版本</t>
  </si>
  <si>
    <t>老用户在老版本已写 A 后升级到新版本。</t>
  </si>
  <si>
    <t>升级后继续返回 A。</t>
  </si>
  <si>
    <t>TC-024</t>
  </si>
  <si>
    <t>老版本未写入 user_group，升级后已登录启动新版本。</t>
  </si>
  <si>
    <t>新版本通过 config/get 返回 A 并写入 A。</t>
  </si>
  <si>
    <t>TC-025</t>
  </si>
  <si>
    <t>升级后先未登录 init 得到 B/C，再登录老账号。</t>
  </si>
  <si>
    <t>最终返回 A；用户表写 A。</t>
  </si>
  <si>
    <t>TC-026</t>
  </si>
  <si>
    <t>未登录后注册</t>
  </si>
  <si>
    <t>URL_user_group_init + URL_user_group_msg</t>
  </si>
  <si>
    <t>新版本未登录体验 init 得到 B，随后注册。</t>
  </si>
  <si>
    <t>注册后绑定 B。</t>
  </si>
  <si>
    <t>TC-027</t>
  </si>
  <si>
    <t>注册后升级</t>
  </si>
  <si>
    <t>A 或空</t>
  </si>
  <si>
    <t>config/get / URL_user_group_msg</t>
  </si>
  <si>
    <t>用户在 timeA 后用老版本注册，后续升级新版本。</t>
  </si>
  <si>
    <t>需确认策略：若老版本已写 A，建议保持 A；若为空，需确认是否参与 ABC。</t>
  </si>
  <si>
    <t>未测，注册即登录，调用config/get接口设置成A。同TC-005</t>
  </si>
  <si>
    <t>TC-028</t>
  </si>
  <si>
    <t>时间边界</t>
  </si>
  <si>
    <t>任意版本</t>
  </si>
  <si>
    <t>register_time = timeA - 1 秒</t>
  </si>
  <si>
    <t>构造注册时间早于 timeA 1 秒的用户。</t>
  </si>
  <si>
    <t>判定为老用户，返回 A。</t>
  </si>
  <si>
    <t>未测</t>
  </si>
  <si>
    <t>TC-029</t>
  </si>
  <si>
    <t>边界用户</t>
  </si>
  <si>
    <t>register_time = timeA</t>
  </si>
  <si>
    <t>A/B/C</t>
  </si>
  <si>
    <t>构造注册时间等于 timeA 的用户。</t>
  </si>
  <si>
    <t>按约定处理；建议 register_time &gt;= timeA 算新用户，参与 ABC。</t>
  </si>
  <si>
    <t>TC-030</t>
  </si>
  <si>
    <t>register_time = timeA + 1 秒</t>
  </si>
  <si>
    <t>构造注册时间晚于 timeA 1 秒的用户。</t>
  </si>
  <si>
    <t>判定为新用户，绑定并返回设备分组。</t>
  </si>
  <si>
    <t>TC-031</t>
  </si>
  <si>
    <t>时间来源</t>
  </si>
  <si>
    <t>新/老用户</t>
  </si>
  <si>
    <t>客户端时间错误</t>
  </si>
  <si>
    <t>修改客户端时间后注册或登录。</t>
  </si>
  <si>
    <t>分组判断以后端注册时间为准，不受客户端时间影响。</t>
  </si>
  <si>
    <t>TC-032</t>
  </si>
  <si>
    <t>时区一致性</t>
  </si>
  <si>
    <t>timeA 附近不同时区</t>
  </si>
  <si>
    <t>构造接近 timeA 的不同时区注册数据。</t>
  </si>
  <si>
    <t>后台统一使用同一时区或 UTC 判断，结果稳定。</t>
  </si>
  <si>
    <t>TC-033</t>
  </si>
  <si>
    <t>接口兼容</t>
  </si>
  <si>
    <t>抓包验证老版本启动流程。</t>
  </si>
  <si>
    <t>只调用 config/get；不调用 URL_user_group_init/msg。</t>
  </si>
  <si>
    <t>TC-034</t>
  </si>
  <si>
    <t>接口调用</t>
  </si>
  <si>
    <t>抓包验证新版本未登录启动流程。</t>
  </si>
  <si>
    <t>可调用 URL_user_group_init 并返回临时设备组。</t>
  </si>
  <si>
    <t>TC-035</t>
  </si>
  <si>
    <t>用户</t>
  </si>
  <si>
    <t>登录成功</t>
  </si>
  <si>
    <t>抓包验证登录成功后流程。</t>
  </si>
  <si>
    <t>调用 URL_user_group_msg 获取最终用户组。</t>
  </si>
  <si>
    <t>TC-036</t>
  </si>
  <si>
    <t>接口一致性</t>
  </si>
  <si>
    <t>config/get + URL_user_group_msg</t>
  </si>
  <si>
    <t>同一用户启动新版本并触发两个接口。</t>
  </si>
  <si>
    <t>两个接口返回的最终分组口径不能冲突。</t>
  </si>
  <si>
    <t>TC-037</t>
  </si>
  <si>
    <t>冲突检测</t>
  </si>
  <si>
    <t>构造或观察 config/get 返回 A、msg 返回 B/C 的情况。</t>
  </si>
  <si>
    <t>判定为严重问题；同一用户最终分组必须一致。</t>
  </si>
  <si>
    <t>没有出现这种情况</t>
  </si>
  <si>
    <t>TC-038</t>
  </si>
  <si>
    <t>网络异常</t>
  </si>
  <si>
    <t>模拟 URL_user_group_init 网络失败。</t>
  </si>
  <si>
    <t>客户端/后台有兜底或重试；不能导致后续最终分组为空。</t>
  </si>
  <si>
    <t>init接口不传deviceid，msg接口自动归为了A组</t>
  </si>
  <si>
    <t>TC-039</t>
  </si>
  <si>
    <t>登录后</t>
  </si>
  <si>
    <t>模拟 URL_user_group_msg 网络失败。</t>
  </si>
  <si>
    <t>客户端应有重试或默认体验策略；不能错误进入 B/C。</t>
  </si>
  <si>
    <t>错误500，Internet error，兜底A组，进主页</t>
  </si>
  <si>
    <t>TC-040</t>
  </si>
  <si>
    <t>幂等性</t>
  </si>
  <si>
    <t>已有值</t>
  </si>
  <si>
    <t>同一用户重复调用 URL_user_group_msg。</t>
  </si>
  <si>
    <t>每次返回一致；不重复改组。</t>
  </si>
  <si>
    <t>TC-041</t>
  </si>
  <si>
    <t>数据异常</t>
  </si>
  <si>
    <t>老用户 user_group 为空。</t>
  </si>
  <si>
    <t>返回 A，写入 A。</t>
  </si>
  <si>
    <t>TC-042</t>
  </si>
  <si>
    <t>老用户 user_group 异常为 B/C。</t>
  </si>
  <si>
    <t>建议修正为 A；最终体验必须为 A。</t>
  </si>
  <si>
    <t>TC-043</t>
  </si>
  <si>
    <t>设备分组存在</t>
  </si>
  <si>
    <t>新用户 user_group 为空但设备分组存在。</t>
  </si>
  <si>
    <t>绑定设备分组并返回。</t>
  </si>
  <si>
    <t>TC-044</t>
  </si>
  <si>
    <t>设备分组不存在</t>
  </si>
  <si>
    <t>新用户 user_group 为空且设备分组不存在。</t>
  </si>
  <si>
    <t>后台兜底生成 A/B/C 并写入；不能返回空。</t>
  </si>
  <si>
    <t>TC-045</t>
  </si>
  <si>
    <t>device hash 不同</t>
  </si>
  <si>
    <t>用户表已有组，但当前设备 hash 得到不同组。</t>
  </si>
  <si>
    <t>返回用户表已有值，不被设备 hash 覆盖。</t>
  </si>
  <si>
    <t>换设备登录，不修改</t>
  </si>
  <si>
    <t>TC-046</t>
  </si>
  <si>
    <t>共享设备</t>
  </si>
  <si>
    <t>多个新用户</t>
  </si>
  <si>
    <t>同设备登录</t>
  </si>
  <si>
    <t>同一设备注册或登录多个新账号。</t>
  </si>
  <si>
    <t>需确认策略；通常多个新账号继承同一设备分组，或按账号独立绑定。结果必须稳定可解释。</t>
  </si>
  <si>
    <t>同一设备的分组是一致的</t>
  </si>
  <si>
    <t>TC-047</t>
  </si>
  <si>
    <t>账号生命周期</t>
  </si>
  <si>
    <t>重新注册用户</t>
  </si>
  <si>
    <t>注销后重新注册</t>
  </si>
  <si>
    <t>新账号 register_time &gt;= timeA</t>
  </si>
  <si>
    <t>用户注销后用新账号重新注册。</t>
  </si>
  <si>
    <t>按新账号注册时间重新判断；新账号参与 ABC。</t>
  </si>
  <si>
    <t>TC-048</t>
  </si>
  <si>
    <t>重装场景</t>
  </si>
  <si>
    <t>已分组用户</t>
  </si>
  <si>
    <t>重装后登录</t>
  </si>
  <si>
    <t>deviceId 变化</t>
  </si>
  <si>
    <t>删除 App 重装导致 deviceId 变化，再登录已有账号。</t>
  </si>
  <si>
    <t>未登录阶段可重新 init；登录后返回用户表已有分组。</t>
  </si>
  <si>
    <t>同一账号，分组不变</t>
  </si>
  <si>
    <t>规则项</t>
  </si>
  <si>
    <t>建议/验收口径</t>
  </si>
  <si>
    <t>老用户定义</t>
  </si>
  <si>
    <t>register_time &lt; timeA。老用户无论老版本、新版本、已登录、未登录后登录，最终都应为 A。</t>
  </si>
  <si>
    <t>新用户定义</t>
  </si>
  <si>
    <t>建议 register_time &gt;= timeA。新用户在新版本上参与 ABC 分组。</t>
  </si>
  <si>
    <t>老版本能力</t>
  </si>
  <si>
    <t>老版本没有 URL_user_group_init 和 URL_user_group_msg，全部依赖 config/get 归为 A 或兼容默认策略。</t>
  </si>
  <si>
    <t>新版本未登录</t>
  </si>
  <si>
    <t>URL_user_group_init 只能生成临时设备分组；登录后必须以用户注册时间和 user_group 为准。</t>
  </si>
  <si>
    <t>最终分组来源</t>
  </si>
  <si>
    <t>user_group 已有值时优先返回已有值；为空时按老用户 A、新用户设备分组绑定的规则初始化。</t>
  </si>
  <si>
    <t>一致性</t>
  </si>
  <si>
    <t>config/get 和 URL_user_group_msg 对同一用户的最终分组不能冲突。</t>
  </si>
  <si>
    <t>必须明确 register_time = timeA 的归属；本表建议归为新用户。</t>
  </si>
  <si>
    <t>待确认 1</t>
  </si>
  <si>
    <t>timeA 后使用老版本注册的新用户，是否因为老版本不支持 ABC 而统一 A。</t>
  </si>
  <si>
    <t>待确认 2</t>
  </si>
  <si>
    <t>老用户脏数据 user_group=B/C 时，后台是否直接覆盖为 A。</t>
  </si>
  <si>
    <t>待确认 3</t>
  </si>
  <si>
    <t>同一 deviceId 下多个新账号，是继承同一设备分组还是按账号独立策略。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</si>
</sst>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0"/>
      <color rgb="FFFFFFFF"/>
      <name val="Aptos"/>
      <charset val="134"/>
    </font>
    <font>
      <sz val="10"/>
      <name val="Aptos"/>
      <charset val="134"/>
    </font>
    <font>
      <sz val="14"/>
      <name val="Carlito"/>
      <charset val="134"/>
    </font>
    <font>
      <b/>
      <sz val="11"/>
      <color rgb="FFFFFFFF"/>
      <name val="Aptos"/>
      <charset val="134"/>
    </font>
    <font>
      <b/>
      <sz val="14"/>
      <color rgb="FFFFFFFF"/>
      <name val="Aptos"/>
      <charset val="134"/>
    </font>
    <font>
      <sz val="11"/>
      <name val="Aptos"/>
      <charset val="134"/>
    </font>
    <font>
      <sz val="14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E2E8F0"/>
      </right>
      <top style="thin">
        <color rgb="FFCBD5E1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CBD5E1"/>
      </top>
      <bottom style="thin">
        <color rgb="FFE2E8F0"/>
      </bottom>
      <diagonal/>
    </border>
    <border>
      <left style="thin">
        <color rgb="FFCBD5E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E2E8F0"/>
      </right>
      <top style="thin">
        <color rgb="FFE2E8F0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CBD5E1"/>
      </bottom>
      <diagonal/>
    </border>
    <border>
      <left style="thin">
        <color rgb="FFE2E8F0"/>
      </left>
      <right style="thin">
        <color rgb="FFCBD5E1"/>
      </right>
      <top style="thin">
        <color rgb="FFCBD5E1"/>
      </top>
      <bottom style="thin">
        <color rgb="FFE2E8F0"/>
      </bottom>
      <diagonal/>
    </border>
    <border>
      <left style="thin">
        <color rgb="FFE2E8F0"/>
      </left>
      <right style="thin">
        <color rgb="FFCBD5E1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CBD5E1"/>
      </right>
      <top style="thin">
        <color rgb="FFE2E8F0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8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1" xfId="49" applyNumberFormat="1" applyFont="1" applyFill="1" applyBorder="1" applyAlignment="1">
      <alignment horizontal="center" vertical="top" wrapText="1"/>
    </xf>
    <xf numFmtId="0" fontId="2" fillId="0" borderId="1" xfId="49" applyNumberFormat="1" applyFont="1" applyFill="1" applyBorder="1" applyAlignment="1">
      <alignment vertical="top" wrapText="1"/>
    </xf>
    <xf numFmtId="0" fontId="3" fillId="3" borderId="0" xfId="49" applyFont="1" applyFill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2" borderId="2" xfId="49" applyNumberFormat="1" applyFont="1" applyFill="1" applyBorder="1" applyAlignment="1">
      <alignment horizontal="center" vertical="center" wrapText="1"/>
    </xf>
    <xf numFmtId="0" fontId="5" fillId="2" borderId="3" xfId="49" applyNumberFormat="1" applyFont="1" applyFill="1" applyBorder="1" applyAlignment="1">
      <alignment horizontal="center" vertical="center" wrapText="1"/>
    </xf>
    <xf numFmtId="0" fontId="6" fillId="3" borderId="4" xfId="49" applyNumberFormat="1" applyFont="1" applyFill="1" applyBorder="1" applyAlignment="1">
      <alignment horizontal="center" vertical="center" wrapText="1"/>
    </xf>
    <xf numFmtId="0" fontId="7" fillId="3" borderId="5" xfId="49" applyNumberFormat="1" applyFont="1" applyFill="1" applyBorder="1" applyAlignment="1">
      <alignment horizontal="center" vertical="center" wrapText="1"/>
    </xf>
    <xf numFmtId="0" fontId="6" fillId="0" borderId="4" xfId="49" applyNumberFormat="1" applyFont="1" applyFill="1" applyBorder="1" applyAlignment="1">
      <alignment horizontal="center" vertical="center" wrapText="1"/>
    </xf>
    <xf numFmtId="0" fontId="7" fillId="0" borderId="5" xfId="49" applyNumberFormat="1" applyFont="1" applyFill="1" applyBorder="1" applyAlignment="1">
      <alignment horizontal="center" vertical="center" wrapText="1"/>
    </xf>
    <xf numFmtId="0" fontId="6" fillId="0" borderId="6" xfId="49" applyNumberFormat="1" applyFont="1" applyFill="1" applyBorder="1" applyAlignment="1">
      <alignment horizontal="center" vertical="center" wrapText="1"/>
    </xf>
    <xf numFmtId="0" fontId="7" fillId="0" borderId="7" xfId="49" applyNumberFormat="1" applyFont="1" applyFill="1" applyBorder="1" applyAlignment="1">
      <alignment horizontal="center" vertical="center" wrapText="1"/>
    </xf>
    <xf numFmtId="0" fontId="4" fillId="2" borderId="3" xfId="49" applyNumberFormat="1" applyFont="1" applyFill="1" applyBorder="1" applyAlignment="1">
      <alignment horizontal="center" vertical="center" wrapText="1"/>
    </xf>
    <xf numFmtId="0" fontId="6" fillId="3" borderId="5" xfId="49" applyNumberFormat="1" applyFont="1" applyFill="1" applyBorder="1" applyAlignment="1">
      <alignment horizontal="center" vertical="center" wrapText="1"/>
    </xf>
    <xf numFmtId="0" fontId="6" fillId="0" borderId="5" xfId="49" applyNumberFormat="1" applyFont="1" applyFill="1" applyBorder="1" applyAlignment="1">
      <alignment horizontal="center" vertical="center" wrapText="1"/>
    </xf>
    <xf numFmtId="0" fontId="6" fillId="0" borderId="7" xfId="49" applyNumberFormat="1" applyFont="1" applyFill="1" applyBorder="1" applyAlignment="1">
      <alignment horizontal="center" vertical="center" wrapText="1"/>
    </xf>
    <xf numFmtId="0" fontId="5" fillId="2" borderId="8" xfId="49" applyNumberFormat="1" applyFont="1" applyFill="1" applyBorder="1" applyAlignment="1">
      <alignment horizontal="center" vertical="center" wrapText="1"/>
    </xf>
    <xf numFmtId="0" fontId="7" fillId="3" borderId="9" xfId="49" applyNumberFormat="1" applyFont="1" applyFill="1" applyBorder="1" applyAlignment="1">
      <alignment horizontal="center" vertical="center" wrapText="1"/>
    </xf>
    <xf numFmtId="0" fontId="7" fillId="0" borderId="9" xfId="49" applyNumberFormat="1" applyFont="1" applyFill="1" applyBorder="1" applyAlignment="1">
      <alignment horizontal="center" vertical="center" wrapText="1"/>
    </xf>
    <xf numFmtId="0" fontId="7" fillId="0" borderId="10" xfId="49" applyNumberFormat="1" applyFont="1" applyFill="1" applyBorder="1" applyAlignment="1">
      <alignment horizontal="center" vertical="center" wrapText="1"/>
    </xf>
    <xf numFmtId="0" fontId="1" fillId="4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workbookViewId="0">
      <selection activeCell="D9" sqref="D9:H9"/>
    </sheetView>
  </sheetViews>
  <sheetFormatPr defaultColWidth="9" defaultRowHeight="16.8" outlineLevelCol="7"/>
  <cols>
    <col min="1" max="1" width="18" customWidth="1"/>
    <col min="2" max="2" width="12" customWidth="1"/>
    <col min="4" max="8" width="24" customWidth="1"/>
  </cols>
  <sheetData>
    <row r="1" ht="30" customHeight="1" spans="1:8">
      <c r="A1" s="22" t="s">
        <v>0</v>
      </c>
      <c r="B1" s="22"/>
      <c r="C1" s="22"/>
      <c r="D1" s="22"/>
      <c r="E1" s="22"/>
      <c r="F1" s="22"/>
      <c r="G1" s="22"/>
      <c r="H1" s="22"/>
    </row>
    <row r="2" spans="1:8">
      <c r="A2" s="23"/>
      <c r="B2" s="23"/>
      <c r="C2" s="23"/>
      <c r="D2" s="23"/>
      <c r="E2" s="23"/>
      <c r="F2" s="23"/>
      <c r="G2" s="23"/>
      <c r="H2" s="23"/>
    </row>
    <row r="3" spans="1:8">
      <c r="A3" s="1" t="s">
        <v>1</v>
      </c>
      <c r="B3" s="1" t="s">
        <v>2</v>
      </c>
      <c r="C3" s="23"/>
      <c r="D3" s="2" t="s">
        <v>3</v>
      </c>
      <c r="E3" s="2" t="s">
        <v>4</v>
      </c>
      <c r="F3" s="2" t="s">
        <v>5</v>
      </c>
      <c r="G3" s="2" t="s">
        <v>5</v>
      </c>
      <c r="H3" s="2" t="s">
        <v>5</v>
      </c>
    </row>
    <row r="4" spans="1:8">
      <c r="A4" s="2" t="s">
        <v>6</v>
      </c>
      <c r="B4" s="2">
        <v>48</v>
      </c>
      <c r="C4" s="23"/>
      <c r="D4" s="2" t="s">
        <v>7</v>
      </c>
      <c r="E4" s="2" t="s">
        <v>8</v>
      </c>
      <c r="F4" s="2" t="s">
        <v>5</v>
      </c>
      <c r="G4" s="2" t="s">
        <v>5</v>
      </c>
      <c r="H4" s="2" t="s">
        <v>5</v>
      </c>
    </row>
    <row r="5" spans="1:8">
      <c r="A5" s="2" t="s">
        <v>9</v>
      </c>
      <c r="B5" s="2">
        <f>COUNTIF(详细用例!L2:L200,"P0")</f>
        <v>39</v>
      </c>
      <c r="C5" s="23"/>
      <c r="D5" s="2" t="s">
        <v>10</v>
      </c>
      <c r="E5" s="2" t="s">
        <v>11</v>
      </c>
      <c r="F5" s="2" t="s">
        <v>5</v>
      </c>
      <c r="G5" s="2" t="s">
        <v>5</v>
      </c>
      <c r="H5" s="2" t="s">
        <v>5</v>
      </c>
    </row>
    <row r="6" spans="1:8">
      <c r="A6" s="2" t="s">
        <v>12</v>
      </c>
      <c r="B6" s="2">
        <f>COUNTIF(详细用例!L2:L200,"P1")</f>
        <v>9</v>
      </c>
      <c r="C6" s="23"/>
      <c r="D6" s="2" t="s">
        <v>13</v>
      </c>
      <c r="E6" s="2" t="s">
        <v>14</v>
      </c>
      <c r="F6" s="2" t="s">
        <v>5</v>
      </c>
      <c r="G6" s="2" t="s">
        <v>5</v>
      </c>
      <c r="H6" s="2" t="s">
        <v>5</v>
      </c>
    </row>
    <row r="7" spans="1:8">
      <c r="A7" s="2" t="s">
        <v>15</v>
      </c>
      <c r="B7" s="2">
        <f>COUNTIF(详细用例!M2:M200,"待测")</f>
        <v>8</v>
      </c>
      <c r="C7" s="23"/>
      <c r="D7" s="2" t="s">
        <v>16</v>
      </c>
      <c r="E7" s="2" t="s">
        <v>17</v>
      </c>
      <c r="F7" s="2" t="s">
        <v>5</v>
      </c>
      <c r="G7" s="2" t="s">
        <v>5</v>
      </c>
      <c r="H7" s="2" t="s">
        <v>5</v>
      </c>
    </row>
    <row r="8" spans="1:8">
      <c r="A8" s="2" t="s">
        <v>18</v>
      </c>
      <c r="B8" s="2">
        <f>COUNTIF(详细用例!M2:M200,"通过")</f>
        <v>38</v>
      </c>
      <c r="C8" s="23"/>
      <c r="D8" s="2" t="s">
        <v>19</v>
      </c>
      <c r="E8" s="2" t="s">
        <v>20</v>
      </c>
      <c r="F8" s="2" t="s">
        <v>5</v>
      </c>
      <c r="G8" s="2" t="s">
        <v>5</v>
      </c>
      <c r="H8" s="2" t="s">
        <v>5</v>
      </c>
    </row>
    <row r="9" spans="1:8">
      <c r="A9" s="2" t="s">
        <v>21</v>
      </c>
      <c r="B9" s="2">
        <f>COUNTIF(详细用例!M2:M200,"未通过")</f>
        <v>0</v>
      </c>
      <c r="C9" s="23"/>
      <c r="D9" s="2" t="s">
        <v>22</v>
      </c>
      <c r="E9" s="2" t="s">
        <v>23</v>
      </c>
      <c r="F9" s="2" t="s">
        <v>5</v>
      </c>
      <c r="G9" s="2" t="s">
        <v>5</v>
      </c>
      <c r="H9" s="2" t="s">
        <v>5</v>
      </c>
    </row>
    <row r="10" spans="1:8">
      <c r="A10" s="2" t="s">
        <v>24</v>
      </c>
      <c r="B10" s="2">
        <f>COUNTIF(详细用例!M2:M200,"阻塞")</f>
        <v>0</v>
      </c>
      <c r="C10" s="23"/>
      <c r="D10" s="23"/>
      <c r="E10" s="23"/>
      <c r="F10" s="23"/>
      <c r="G10" s="23"/>
      <c r="H10" s="23"/>
    </row>
  </sheetData>
  <mergeCells count="8">
    <mergeCell ref="A1:H1"/>
    <mergeCell ref="D3:H3"/>
    <mergeCell ref="D4:H4"/>
    <mergeCell ref="D5:H5"/>
    <mergeCell ref="D6:H6"/>
    <mergeCell ref="D7:H7"/>
    <mergeCell ref="D8:H8"/>
    <mergeCell ref="D9:H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showGridLines="0" tabSelected="1" zoomScale="74" zoomScaleNormal="74" workbookViewId="0">
      <pane ySplit="1" topLeftCell="A35" activePane="bottomLeft" state="frozen"/>
      <selection/>
      <selection pane="bottomLeft" activeCell="N42" sqref="N42"/>
    </sheetView>
  </sheetViews>
  <sheetFormatPr defaultColWidth="9" defaultRowHeight="20.4"/>
  <cols>
    <col min="1" max="1" width="6.77941176470588" style="4" customWidth="1"/>
    <col min="2" max="2" width="13.9044117647059" style="5" customWidth="1"/>
    <col min="3" max="3" width="9.76470588235294" style="5" customWidth="1"/>
    <col min="4" max="4" width="8.93382352941176" style="5" customWidth="1"/>
    <col min="5" max="5" width="9.43382352941176" style="4" customWidth="1"/>
    <col min="6" max="6" width="17.7132352941176" style="4" customWidth="1"/>
    <col min="7" max="7" width="7.77941176470588" style="4" customWidth="1"/>
    <col min="8" max="8" width="7.61764705882353" style="4" customWidth="1"/>
    <col min="9" max="9" width="15.7279411764706" style="5" customWidth="1"/>
    <col min="10" max="10" width="29.4779411764706" style="5" customWidth="1"/>
    <col min="11" max="11" width="39.0808823529412" style="4" customWidth="1"/>
    <col min="12" max="13" width="12" style="5" customWidth="1"/>
    <col min="14" max="14" width="8.94117647058824" style="5" customWidth="1"/>
    <col min="15" max="15" width="46.1985294117647" style="5" customWidth="1"/>
    <col min="16" max="16384" width="9" style="5"/>
  </cols>
  <sheetData>
    <row r="1" ht="51" customHeight="1" spans="1:15">
      <c r="A1" s="6" t="s">
        <v>25</v>
      </c>
      <c r="B1" s="7" t="s">
        <v>26</v>
      </c>
      <c r="C1" s="7" t="s">
        <v>27</v>
      </c>
      <c r="D1" s="7" t="s">
        <v>28</v>
      </c>
      <c r="E1" s="14" t="s">
        <v>29</v>
      </c>
      <c r="F1" s="14" t="s">
        <v>30</v>
      </c>
      <c r="G1" s="14" t="s">
        <v>31</v>
      </c>
      <c r="H1" s="14" t="s">
        <v>32</v>
      </c>
      <c r="I1" s="7" t="s">
        <v>33</v>
      </c>
      <c r="J1" s="7" t="s">
        <v>34</v>
      </c>
      <c r="K1" s="14" t="s">
        <v>35</v>
      </c>
      <c r="L1" s="7" t="s">
        <v>36</v>
      </c>
      <c r="M1" s="7" t="s">
        <v>37</v>
      </c>
      <c r="N1" s="7" t="s">
        <v>38</v>
      </c>
      <c r="O1" s="18" t="s">
        <v>39</v>
      </c>
    </row>
    <row r="2" s="3" customFormat="1" ht="48" customHeight="1" spans="1:15">
      <c r="A2" s="8" t="s">
        <v>40</v>
      </c>
      <c r="B2" s="9" t="s">
        <v>41</v>
      </c>
      <c r="C2" s="9" t="s">
        <v>42</v>
      </c>
      <c r="D2" s="9" t="s">
        <v>43</v>
      </c>
      <c r="E2" s="15" t="s">
        <v>44</v>
      </c>
      <c r="F2" s="15" t="s">
        <v>45</v>
      </c>
      <c r="G2" s="15" t="s">
        <v>46</v>
      </c>
      <c r="H2" s="15" t="s">
        <v>47</v>
      </c>
      <c r="I2" s="9" t="s">
        <v>48</v>
      </c>
      <c r="J2" s="9" t="s">
        <v>49</v>
      </c>
      <c r="K2" s="15" t="s">
        <v>50</v>
      </c>
      <c r="L2" s="9" t="s">
        <v>51</v>
      </c>
      <c r="M2" s="9" t="s">
        <v>18</v>
      </c>
      <c r="N2" s="9" t="s">
        <v>52</v>
      </c>
      <c r="O2" s="19" t="s">
        <v>5</v>
      </c>
    </row>
    <row r="3" s="3" customFormat="1" ht="48" customHeight="1" spans="1:15">
      <c r="A3" s="8" t="s">
        <v>53</v>
      </c>
      <c r="B3" s="9" t="s">
        <v>41</v>
      </c>
      <c r="C3" s="9" t="s">
        <v>42</v>
      </c>
      <c r="D3" s="9" t="s">
        <v>43</v>
      </c>
      <c r="E3" s="15" t="s">
        <v>44</v>
      </c>
      <c r="F3" s="15" t="s">
        <v>45</v>
      </c>
      <c r="G3" s="15" t="s">
        <v>52</v>
      </c>
      <c r="H3" s="15" t="s">
        <v>47</v>
      </c>
      <c r="I3" s="9" t="s">
        <v>48</v>
      </c>
      <c r="J3" s="9" t="s">
        <v>54</v>
      </c>
      <c r="K3" s="15" t="s">
        <v>55</v>
      </c>
      <c r="L3" s="9" t="s">
        <v>51</v>
      </c>
      <c r="M3" s="9" t="s">
        <v>18</v>
      </c>
      <c r="N3" s="9" t="s">
        <v>52</v>
      </c>
      <c r="O3" s="19" t="s">
        <v>5</v>
      </c>
    </row>
    <row r="4" s="3" customFormat="1" ht="48" customHeight="1" spans="1:15">
      <c r="A4" s="8" t="s">
        <v>56</v>
      </c>
      <c r="B4" s="9" t="s">
        <v>57</v>
      </c>
      <c r="C4" s="9" t="s">
        <v>42</v>
      </c>
      <c r="D4" s="9" t="s">
        <v>43</v>
      </c>
      <c r="E4" s="15" t="s">
        <v>58</v>
      </c>
      <c r="F4" s="15" t="s">
        <v>45</v>
      </c>
      <c r="G4" s="15" t="s">
        <v>46</v>
      </c>
      <c r="H4" s="15" t="s">
        <v>47</v>
      </c>
      <c r="I4" s="9" t="s">
        <v>48</v>
      </c>
      <c r="J4" s="9" t="s">
        <v>59</v>
      </c>
      <c r="K4" s="15" t="s">
        <v>60</v>
      </c>
      <c r="L4" s="9" t="s">
        <v>51</v>
      </c>
      <c r="M4" s="9" t="s">
        <v>18</v>
      </c>
      <c r="N4" s="9" t="s">
        <v>52</v>
      </c>
      <c r="O4" s="19" t="s">
        <v>5</v>
      </c>
    </row>
    <row r="5" s="3" customFormat="1" ht="69" customHeight="1" spans="1:15">
      <c r="A5" s="8" t="s">
        <v>61</v>
      </c>
      <c r="B5" s="9" t="s">
        <v>62</v>
      </c>
      <c r="C5" s="9" t="s">
        <v>63</v>
      </c>
      <c r="D5" s="9" t="s">
        <v>43</v>
      </c>
      <c r="E5" s="15" t="s">
        <v>64</v>
      </c>
      <c r="F5" s="15" t="s">
        <v>65</v>
      </c>
      <c r="G5" s="15" t="s">
        <v>47</v>
      </c>
      <c r="H5" s="15" t="s">
        <v>47</v>
      </c>
      <c r="I5" s="9" t="s">
        <v>48</v>
      </c>
      <c r="J5" s="9" t="s">
        <v>66</v>
      </c>
      <c r="K5" s="15" t="s">
        <v>67</v>
      </c>
      <c r="L5" s="9" t="s">
        <v>68</v>
      </c>
      <c r="M5" s="9" t="s">
        <v>69</v>
      </c>
      <c r="N5" s="9" t="s">
        <v>5</v>
      </c>
      <c r="O5" s="19" t="s">
        <v>70</v>
      </c>
    </row>
    <row r="6" s="3" customFormat="1" ht="48" customHeight="1" spans="1:15">
      <c r="A6" s="8" t="s">
        <v>71</v>
      </c>
      <c r="B6" s="9" t="s">
        <v>72</v>
      </c>
      <c r="C6" s="9" t="s">
        <v>73</v>
      </c>
      <c r="D6" s="9" t="s">
        <v>43</v>
      </c>
      <c r="E6" s="15" t="s">
        <v>74</v>
      </c>
      <c r="F6" s="15" t="s">
        <v>75</v>
      </c>
      <c r="G6" s="15" t="s">
        <v>46</v>
      </c>
      <c r="H6" s="15" t="s">
        <v>47</v>
      </c>
      <c r="I6" s="9" t="s">
        <v>48</v>
      </c>
      <c r="J6" s="9" t="s">
        <v>76</v>
      </c>
      <c r="K6" s="15" t="s">
        <v>77</v>
      </c>
      <c r="L6" s="9" t="s">
        <v>51</v>
      </c>
      <c r="M6" s="9" t="s">
        <v>18</v>
      </c>
      <c r="N6" s="9" t="s">
        <v>52</v>
      </c>
      <c r="O6" s="19" t="s">
        <v>78</v>
      </c>
    </row>
    <row r="7" ht="48" customHeight="1" spans="1:15">
      <c r="A7" s="10" t="s">
        <v>79</v>
      </c>
      <c r="B7" s="11" t="s">
        <v>80</v>
      </c>
      <c r="C7" s="11" t="s">
        <v>42</v>
      </c>
      <c r="D7" s="11" t="s">
        <v>81</v>
      </c>
      <c r="E7" s="16" t="s">
        <v>44</v>
      </c>
      <c r="F7" s="16" t="s">
        <v>45</v>
      </c>
      <c r="G7" s="16" t="s">
        <v>46</v>
      </c>
      <c r="H7" s="16" t="s">
        <v>47</v>
      </c>
      <c r="I7" s="11" t="s">
        <v>48</v>
      </c>
      <c r="J7" s="11" t="s">
        <v>82</v>
      </c>
      <c r="K7" s="16" t="s">
        <v>83</v>
      </c>
      <c r="L7" s="11" t="s">
        <v>51</v>
      </c>
      <c r="M7" s="11" t="s">
        <v>18</v>
      </c>
      <c r="N7" s="11" t="s">
        <v>52</v>
      </c>
      <c r="O7" s="20" t="s">
        <v>5</v>
      </c>
    </row>
    <row r="8" ht="48" customHeight="1" spans="1:15">
      <c r="A8" s="10" t="s">
        <v>84</v>
      </c>
      <c r="B8" s="11" t="s">
        <v>80</v>
      </c>
      <c r="C8" s="11" t="s">
        <v>42</v>
      </c>
      <c r="D8" s="11" t="s">
        <v>81</v>
      </c>
      <c r="E8" s="16" t="s">
        <v>44</v>
      </c>
      <c r="F8" s="16" t="s">
        <v>45</v>
      </c>
      <c r="G8" s="16" t="s">
        <v>52</v>
      </c>
      <c r="H8" s="16" t="s">
        <v>47</v>
      </c>
      <c r="I8" s="11" t="s">
        <v>48</v>
      </c>
      <c r="J8" s="11" t="s">
        <v>82</v>
      </c>
      <c r="K8" s="16" t="s">
        <v>55</v>
      </c>
      <c r="L8" s="11" t="s">
        <v>51</v>
      </c>
      <c r="M8" s="11" t="s">
        <v>18</v>
      </c>
      <c r="N8" s="11" t="s">
        <v>52</v>
      </c>
      <c r="O8" s="20" t="s">
        <v>5</v>
      </c>
    </row>
    <row r="9" ht="48" customHeight="1" spans="1:15">
      <c r="A9" s="10" t="s">
        <v>85</v>
      </c>
      <c r="B9" s="11" t="s">
        <v>86</v>
      </c>
      <c r="C9" s="11" t="s">
        <v>42</v>
      </c>
      <c r="D9" s="11" t="s">
        <v>81</v>
      </c>
      <c r="E9" s="16" t="s">
        <v>44</v>
      </c>
      <c r="F9" s="16" t="s">
        <v>45</v>
      </c>
      <c r="G9" s="16" t="s">
        <v>87</v>
      </c>
      <c r="H9" s="16" t="s">
        <v>47</v>
      </c>
      <c r="I9" s="11" t="s">
        <v>88</v>
      </c>
      <c r="J9" s="11" t="s">
        <v>89</v>
      </c>
      <c r="K9" s="16" t="s">
        <v>90</v>
      </c>
      <c r="L9" s="11" t="s">
        <v>51</v>
      </c>
      <c r="M9" s="11" t="s">
        <v>18</v>
      </c>
      <c r="N9" s="11" t="s">
        <v>52</v>
      </c>
      <c r="O9" s="20" t="s">
        <v>91</v>
      </c>
    </row>
    <row r="10" ht="48" customHeight="1" spans="1:15">
      <c r="A10" s="10" t="s">
        <v>92</v>
      </c>
      <c r="B10" s="11" t="s">
        <v>93</v>
      </c>
      <c r="C10" s="11" t="s">
        <v>94</v>
      </c>
      <c r="D10" s="11" t="s">
        <v>81</v>
      </c>
      <c r="E10" s="16" t="s">
        <v>64</v>
      </c>
      <c r="F10" s="16" t="s">
        <v>65</v>
      </c>
      <c r="G10" s="16" t="s">
        <v>47</v>
      </c>
      <c r="H10" s="16" t="s">
        <v>47</v>
      </c>
      <c r="I10" s="11" t="s">
        <v>95</v>
      </c>
      <c r="J10" s="11" t="s">
        <v>96</v>
      </c>
      <c r="K10" s="16" t="s">
        <v>97</v>
      </c>
      <c r="L10" s="11" t="s">
        <v>68</v>
      </c>
      <c r="M10" s="11" t="s">
        <v>69</v>
      </c>
      <c r="N10" s="11" t="s">
        <v>5</v>
      </c>
      <c r="O10" s="20" t="s">
        <v>98</v>
      </c>
    </row>
    <row r="11" ht="48" customHeight="1" spans="1:15">
      <c r="A11" s="10" t="s">
        <v>99</v>
      </c>
      <c r="B11" s="11" t="s">
        <v>100</v>
      </c>
      <c r="C11" s="11" t="s">
        <v>42</v>
      </c>
      <c r="D11" s="11" t="s">
        <v>81</v>
      </c>
      <c r="E11" s="16" t="s">
        <v>58</v>
      </c>
      <c r="F11" s="16" t="s">
        <v>45</v>
      </c>
      <c r="G11" s="16" t="s">
        <v>46</v>
      </c>
      <c r="H11" s="16" t="s">
        <v>87</v>
      </c>
      <c r="I11" s="11" t="s">
        <v>101</v>
      </c>
      <c r="J11" s="11" t="s">
        <v>102</v>
      </c>
      <c r="K11" s="16" t="s">
        <v>103</v>
      </c>
      <c r="L11" s="11" t="s">
        <v>51</v>
      </c>
      <c r="M11" s="11" t="s">
        <v>18</v>
      </c>
      <c r="N11" s="11" t="s">
        <v>52</v>
      </c>
      <c r="O11" s="20" t="s">
        <v>5</v>
      </c>
    </row>
    <row r="12" ht="48" customHeight="1" spans="1:15">
      <c r="A12" s="10" t="s">
        <v>104</v>
      </c>
      <c r="B12" s="11" t="s">
        <v>100</v>
      </c>
      <c r="C12" s="11" t="s">
        <v>42</v>
      </c>
      <c r="D12" s="11" t="s">
        <v>81</v>
      </c>
      <c r="E12" s="16" t="s">
        <v>58</v>
      </c>
      <c r="F12" s="16" t="s">
        <v>45</v>
      </c>
      <c r="G12" s="16" t="s">
        <v>46</v>
      </c>
      <c r="H12" s="16" t="s">
        <v>52</v>
      </c>
      <c r="I12" s="11" t="s">
        <v>101</v>
      </c>
      <c r="J12" s="11" t="s">
        <v>105</v>
      </c>
      <c r="K12" s="16" t="s">
        <v>106</v>
      </c>
      <c r="L12" s="11" t="s">
        <v>51</v>
      </c>
      <c r="M12" s="11" t="s">
        <v>18</v>
      </c>
      <c r="N12" s="11" t="s">
        <v>52</v>
      </c>
      <c r="O12" s="20" t="s">
        <v>5</v>
      </c>
    </row>
    <row r="13" ht="48" customHeight="1" spans="1:15">
      <c r="A13" s="10" t="s">
        <v>107</v>
      </c>
      <c r="B13" s="11" t="s">
        <v>100</v>
      </c>
      <c r="C13" s="11" t="s">
        <v>42</v>
      </c>
      <c r="D13" s="11" t="s">
        <v>81</v>
      </c>
      <c r="E13" s="16" t="s">
        <v>58</v>
      </c>
      <c r="F13" s="16" t="s">
        <v>45</v>
      </c>
      <c r="G13" s="16" t="s">
        <v>52</v>
      </c>
      <c r="H13" s="16" t="s">
        <v>108</v>
      </c>
      <c r="I13" s="11" t="s">
        <v>101</v>
      </c>
      <c r="J13" s="11" t="s">
        <v>109</v>
      </c>
      <c r="K13" s="16" t="s">
        <v>110</v>
      </c>
      <c r="L13" s="11" t="s">
        <v>51</v>
      </c>
      <c r="M13" s="11" t="s">
        <v>18</v>
      </c>
      <c r="N13" s="11" t="s">
        <v>111</v>
      </c>
      <c r="O13" s="20" t="s">
        <v>5</v>
      </c>
    </row>
    <row r="14" ht="48" customHeight="1" spans="1:15">
      <c r="A14" s="10" t="s">
        <v>112</v>
      </c>
      <c r="B14" s="11" t="s">
        <v>113</v>
      </c>
      <c r="C14" s="11" t="s">
        <v>42</v>
      </c>
      <c r="D14" s="11" t="s">
        <v>81</v>
      </c>
      <c r="E14" s="16" t="s">
        <v>114</v>
      </c>
      <c r="F14" s="16" t="s">
        <v>45</v>
      </c>
      <c r="G14" s="16" t="s">
        <v>115</v>
      </c>
      <c r="H14" s="16" t="s">
        <v>116</v>
      </c>
      <c r="I14" s="11" t="s">
        <v>101</v>
      </c>
      <c r="J14" s="11" t="s">
        <v>117</v>
      </c>
      <c r="K14" s="16" t="s">
        <v>118</v>
      </c>
      <c r="L14" s="11" t="s">
        <v>51</v>
      </c>
      <c r="M14" s="11" t="s">
        <v>18</v>
      </c>
      <c r="N14" s="11" t="s">
        <v>52</v>
      </c>
      <c r="O14" s="20" t="s">
        <v>5</v>
      </c>
    </row>
    <row r="15" ht="48" customHeight="1" spans="1:15">
      <c r="A15" s="10" t="s">
        <v>119</v>
      </c>
      <c r="B15" s="11" t="s">
        <v>120</v>
      </c>
      <c r="C15" s="11" t="s">
        <v>73</v>
      </c>
      <c r="D15" s="11" t="s">
        <v>81</v>
      </c>
      <c r="E15" s="16" t="s">
        <v>64</v>
      </c>
      <c r="F15" s="16" t="s">
        <v>121</v>
      </c>
      <c r="G15" s="16" t="s">
        <v>47</v>
      </c>
      <c r="H15" s="16" t="s">
        <v>122</v>
      </c>
      <c r="I15" s="11" t="s">
        <v>95</v>
      </c>
      <c r="J15" s="11" t="s">
        <v>123</v>
      </c>
      <c r="K15" s="16" t="s">
        <v>124</v>
      </c>
      <c r="L15" s="11" t="s">
        <v>51</v>
      </c>
      <c r="M15" s="11" t="s">
        <v>18</v>
      </c>
      <c r="N15" s="11" t="s">
        <v>5</v>
      </c>
      <c r="O15" s="20" t="s">
        <v>5</v>
      </c>
    </row>
    <row r="16" ht="48" customHeight="1" spans="1:15">
      <c r="A16" s="10" t="s">
        <v>125</v>
      </c>
      <c r="B16" s="11" t="s">
        <v>126</v>
      </c>
      <c r="C16" s="11" t="s">
        <v>73</v>
      </c>
      <c r="D16" s="11" t="s">
        <v>81</v>
      </c>
      <c r="E16" s="16" t="s">
        <v>127</v>
      </c>
      <c r="F16" s="16" t="s">
        <v>75</v>
      </c>
      <c r="G16" s="16" t="s">
        <v>46</v>
      </c>
      <c r="H16" s="16" t="s">
        <v>128</v>
      </c>
      <c r="I16" s="11" t="s">
        <v>101</v>
      </c>
      <c r="J16" s="11" t="s">
        <v>129</v>
      </c>
      <c r="K16" s="16" t="s">
        <v>130</v>
      </c>
      <c r="L16" s="11" t="s">
        <v>51</v>
      </c>
      <c r="M16" s="11" t="s">
        <v>18</v>
      </c>
      <c r="N16" s="11" t="s">
        <v>131</v>
      </c>
      <c r="O16" s="20" t="s">
        <v>5</v>
      </c>
    </row>
    <row r="17" ht="48" customHeight="1" spans="1:15">
      <c r="A17" s="10" t="s">
        <v>132</v>
      </c>
      <c r="B17" s="11" t="s">
        <v>126</v>
      </c>
      <c r="C17" s="11" t="s">
        <v>73</v>
      </c>
      <c r="D17" s="11" t="s">
        <v>81</v>
      </c>
      <c r="E17" s="16" t="s">
        <v>127</v>
      </c>
      <c r="F17" s="16" t="s">
        <v>75</v>
      </c>
      <c r="G17" s="16" t="s">
        <v>46</v>
      </c>
      <c r="H17" s="16" t="s">
        <v>133</v>
      </c>
      <c r="I17" s="11" t="s">
        <v>101</v>
      </c>
      <c r="J17" s="11" t="s">
        <v>134</v>
      </c>
      <c r="K17" s="16" t="s">
        <v>135</v>
      </c>
      <c r="L17" s="11" t="s">
        <v>51</v>
      </c>
      <c r="M17" s="11" t="s">
        <v>18</v>
      </c>
      <c r="N17" s="11" t="s">
        <v>133</v>
      </c>
      <c r="O17" s="20" t="s">
        <v>5</v>
      </c>
    </row>
    <row r="18" ht="48" customHeight="1" spans="1:15">
      <c r="A18" s="10" t="s">
        <v>136</v>
      </c>
      <c r="B18" s="11" t="s">
        <v>126</v>
      </c>
      <c r="C18" s="11" t="s">
        <v>73</v>
      </c>
      <c r="D18" s="11" t="s">
        <v>81</v>
      </c>
      <c r="E18" s="16" t="s">
        <v>127</v>
      </c>
      <c r="F18" s="16" t="s">
        <v>75</v>
      </c>
      <c r="G18" s="16" t="s">
        <v>46</v>
      </c>
      <c r="H18" s="16" t="s">
        <v>52</v>
      </c>
      <c r="I18" s="11" t="s">
        <v>101</v>
      </c>
      <c r="J18" s="11" t="s">
        <v>137</v>
      </c>
      <c r="K18" s="16" t="s">
        <v>138</v>
      </c>
      <c r="L18" s="11" t="s">
        <v>51</v>
      </c>
      <c r="M18" s="11" t="s">
        <v>18</v>
      </c>
      <c r="N18" s="11" t="s">
        <v>52</v>
      </c>
      <c r="O18" s="20" t="s">
        <v>5</v>
      </c>
    </row>
    <row r="19" ht="48" customHeight="1" spans="1:15">
      <c r="A19" s="10" t="s">
        <v>139</v>
      </c>
      <c r="B19" s="11" t="s">
        <v>140</v>
      </c>
      <c r="C19" s="11" t="s">
        <v>73</v>
      </c>
      <c r="D19" s="11" t="s">
        <v>81</v>
      </c>
      <c r="E19" s="16" t="s">
        <v>44</v>
      </c>
      <c r="F19" s="16" t="s">
        <v>75</v>
      </c>
      <c r="G19" s="16" t="s">
        <v>128</v>
      </c>
      <c r="H19" s="16" t="s">
        <v>108</v>
      </c>
      <c r="I19" s="11" t="s">
        <v>88</v>
      </c>
      <c r="J19" s="11" t="s">
        <v>141</v>
      </c>
      <c r="K19" s="16" t="s">
        <v>142</v>
      </c>
      <c r="L19" s="11" t="s">
        <v>51</v>
      </c>
      <c r="M19" s="11" t="s">
        <v>18</v>
      </c>
      <c r="N19" s="11" t="s">
        <v>131</v>
      </c>
      <c r="O19" s="20" t="s">
        <v>5</v>
      </c>
    </row>
    <row r="20" ht="48" customHeight="1" spans="1:15">
      <c r="A20" s="10" t="s">
        <v>143</v>
      </c>
      <c r="B20" s="11" t="s">
        <v>144</v>
      </c>
      <c r="C20" s="11" t="s">
        <v>73</v>
      </c>
      <c r="D20" s="11" t="s">
        <v>81</v>
      </c>
      <c r="E20" s="16" t="s">
        <v>44</v>
      </c>
      <c r="F20" s="16" t="s">
        <v>75</v>
      </c>
      <c r="G20" s="16" t="s">
        <v>133</v>
      </c>
      <c r="H20" s="16" t="s">
        <v>145</v>
      </c>
      <c r="I20" s="11" t="s">
        <v>101</v>
      </c>
      <c r="J20" s="11" t="s">
        <v>146</v>
      </c>
      <c r="K20" s="16" t="s">
        <v>147</v>
      </c>
      <c r="L20" s="11" t="s">
        <v>51</v>
      </c>
      <c r="M20" s="11" t="s">
        <v>18</v>
      </c>
      <c r="N20" s="11" t="s">
        <v>133</v>
      </c>
      <c r="O20" s="20" t="s">
        <v>5</v>
      </c>
    </row>
    <row r="21" ht="58" customHeight="1" spans="1:15">
      <c r="A21" s="10" t="s">
        <v>148</v>
      </c>
      <c r="B21" s="11" t="s">
        <v>149</v>
      </c>
      <c r="C21" s="11" t="s">
        <v>73</v>
      </c>
      <c r="D21" s="11" t="s">
        <v>81</v>
      </c>
      <c r="E21" s="16" t="s">
        <v>127</v>
      </c>
      <c r="F21" s="16" t="s">
        <v>75</v>
      </c>
      <c r="G21" s="16" t="s">
        <v>46</v>
      </c>
      <c r="H21" s="16" t="s">
        <v>150</v>
      </c>
      <c r="I21" s="11" t="s">
        <v>101</v>
      </c>
      <c r="J21" s="11" t="s">
        <v>151</v>
      </c>
      <c r="K21" s="16" t="s">
        <v>152</v>
      </c>
      <c r="L21" s="11" t="s">
        <v>51</v>
      </c>
      <c r="M21" s="11" t="s">
        <v>18</v>
      </c>
      <c r="N21" s="11" t="s">
        <v>52</v>
      </c>
      <c r="O21" s="20" t="s">
        <v>5</v>
      </c>
    </row>
    <row r="22" ht="48" customHeight="1" spans="1:15">
      <c r="A22" s="10" t="s">
        <v>153</v>
      </c>
      <c r="B22" s="11" t="s">
        <v>154</v>
      </c>
      <c r="C22" s="11" t="s">
        <v>73</v>
      </c>
      <c r="D22" s="11" t="s">
        <v>81</v>
      </c>
      <c r="E22" s="16" t="s">
        <v>64</v>
      </c>
      <c r="F22" s="16" t="s">
        <v>121</v>
      </c>
      <c r="G22" s="16" t="s">
        <v>47</v>
      </c>
      <c r="H22" s="16" t="s">
        <v>155</v>
      </c>
      <c r="I22" s="11" t="s">
        <v>95</v>
      </c>
      <c r="J22" s="11" t="s">
        <v>156</v>
      </c>
      <c r="K22" s="16" t="s">
        <v>157</v>
      </c>
      <c r="L22" s="11" t="s">
        <v>68</v>
      </c>
      <c r="M22" s="11" t="s">
        <v>18</v>
      </c>
      <c r="N22" s="11" t="s">
        <v>5</v>
      </c>
      <c r="O22" s="20" t="s">
        <v>158</v>
      </c>
    </row>
    <row r="23" ht="48" customHeight="1" spans="1:15">
      <c r="A23" s="10" t="s">
        <v>159</v>
      </c>
      <c r="B23" s="11" t="s">
        <v>113</v>
      </c>
      <c r="C23" s="11" t="s">
        <v>73</v>
      </c>
      <c r="D23" s="11" t="s">
        <v>81</v>
      </c>
      <c r="E23" s="16" t="s">
        <v>114</v>
      </c>
      <c r="F23" s="16" t="s">
        <v>75</v>
      </c>
      <c r="G23" s="16" t="s">
        <v>128</v>
      </c>
      <c r="H23" s="16" t="s">
        <v>160</v>
      </c>
      <c r="I23" s="11" t="s">
        <v>101</v>
      </c>
      <c r="J23" s="11" t="s">
        <v>161</v>
      </c>
      <c r="K23" s="16" t="s">
        <v>162</v>
      </c>
      <c r="L23" s="11" t="s">
        <v>51</v>
      </c>
      <c r="M23" s="11" t="s">
        <v>18</v>
      </c>
      <c r="N23" s="11" t="s">
        <v>131</v>
      </c>
      <c r="O23" s="20" t="s">
        <v>5</v>
      </c>
    </row>
    <row r="24" s="3" customFormat="1" ht="48" customHeight="1" spans="1:15">
      <c r="A24" s="8" t="s">
        <v>163</v>
      </c>
      <c r="B24" s="9" t="s">
        <v>164</v>
      </c>
      <c r="C24" s="9" t="s">
        <v>42</v>
      </c>
      <c r="D24" s="9" t="s">
        <v>165</v>
      </c>
      <c r="E24" s="15" t="s">
        <v>44</v>
      </c>
      <c r="F24" s="15" t="s">
        <v>45</v>
      </c>
      <c r="G24" s="15" t="s">
        <v>52</v>
      </c>
      <c r="H24" s="15" t="s">
        <v>47</v>
      </c>
      <c r="I24" s="9" t="s">
        <v>48</v>
      </c>
      <c r="J24" s="9" t="s">
        <v>166</v>
      </c>
      <c r="K24" s="15" t="s">
        <v>167</v>
      </c>
      <c r="L24" s="9" t="s">
        <v>51</v>
      </c>
      <c r="M24" s="9" t="s">
        <v>18</v>
      </c>
      <c r="N24" s="9" t="s">
        <v>52</v>
      </c>
      <c r="O24" s="19" t="s">
        <v>5</v>
      </c>
    </row>
    <row r="25" s="3" customFormat="1" ht="48" customHeight="1" spans="1:15">
      <c r="A25" s="8" t="s">
        <v>168</v>
      </c>
      <c r="B25" s="9" t="s">
        <v>164</v>
      </c>
      <c r="C25" s="9" t="s">
        <v>42</v>
      </c>
      <c r="D25" s="9" t="s">
        <v>165</v>
      </c>
      <c r="E25" s="15" t="s">
        <v>44</v>
      </c>
      <c r="F25" s="15" t="s">
        <v>45</v>
      </c>
      <c r="G25" s="15" t="s">
        <v>46</v>
      </c>
      <c r="H25" s="15" t="s">
        <v>47</v>
      </c>
      <c r="I25" s="9" t="s">
        <v>48</v>
      </c>
      <c r="J25" s="9" t="s">
        <v>169</v>
      </c>
      <c r="K25" s="15" t="s">
        <v>170</v>
      </c>
      <c r="L25" s="9" t="s">
        <v>51</v>
      </c>
      <c r="M25" s="9" t="s">
        <v>18</v>
      </c>
      <c r="N25" s="9" t="s">
        <v>111</v>
      </c>
      <c r="O25" s="19" t="s">
        <v>5</v>
      </c>
    </row>
    <row r="26" s="3" customFormat="1" ht="48" customHeight="1" spans="1:15">
      <c r="A26" s="8" t="s">
        <v>171</v>
      </c>
      <c r="B26" s="9" t="s">
        <v>164</v>
      </c>
      <c r="C26" s="9" t="s">
        <v>42</v>
      </c>
      <c r="D26" s="9" t="s">
        <v>165</v>
      </c>
      <c r="E26" s="15" t="s">
        <v>58</v>
      </c>
      <c r="F26" s="15" t="s">
        <v>45</v>
      </c>
      <c r="G26" s="15" t="s">
        <v>46</v>
      </c>
      <c r="H26" s="15" t="s">
        <v>87</v>
      </c>
      <c r="I26" s="9" t="s">
        <v>101</v>
      </c>
      <c r="J26" s="9" t="s">
        <v>172</v>
      </c>
      <c r="K26" s="15" t="s">
        <v>173</v>
      </c>
      <c r="L26" s="9" t="s">
        <v>51</v>
      </c>
      <c r="M26" s="9" t="s">
        <v>18</v>
      </c>
      <c r="N26" s="9" t="s">
        <v>52</v>
      </c>
      <c r="O26" s="19" t="s">
        <v>5</v>
      </c>
    </row>
    <row r="27" ht="96" customHeight="1" spans="1:15">
      <c r="A27" s="10" t="s">
        <v>174</v>
      </c>
      <c r="B27" s="11" t="s">
        <v>164</v>
      </c>
      <c r="C27" s="11" t="s">
        <v>73</v>
      </c>
      <c r="D27" s="11" t="s">
        <v>81</v>
      </c>
      <c r="E27" s="16" t="s">
        <v>175</v>
      </c>
      <c r="F27" s="16" t="s">
        <v>75</v>
      </c>
      <c r="G27" s="16" t="s">
        <v>46</v>
      </c>
      <c r="H27" s="16" t="s">
        <v>128</v>
      </c>
      <c r="I27" s="11" t="s">
        <v>176</v>
      </c>
      <c r="J27" s="11" t="s">
        <v>177</v>
      </c>
      <c r="K27" s="16" t="s">
        <v>178</v>
      </c>
      <c r="L27" s="11" t="s">
        <v>51</v>
      </c>
      <c r="M27" s="11" t="s">
        <v>18</v>
      </c>
      <c r="N27" s="11" t="s">
        <v>131</v>
      </c>
      <c r="O27" s="20" t="s">
        <v>5</v>
      </c>
    </row>
    <row r="28" s="3" customFormat="1" ht="48" customHeight="1" spans="1:15">
      <c r="A28" s="8" t="s">
        <v>179</v>
      </c>
      <c r="B28" s="9" t="s">
        <v>164</v>
      </c>
      <c r="C28" s="9" t="s">
        <v>73</v>
      </c>
      <c r="D28" s="9" t="s">
        <v>165</v>
      </c>
      <c r="E28" s="15" t="s">
        <v>180</v>
      </c>
      <c r="F28" s="15" t="s">
        <v>75</v>
      </c>
      <c r="G28" s="15" t="s">
        <v>181</v>
      </c>
      <c r="H28" s="15" t="s">
        <v>47</v>
      </c>
      <c r="I28" s="9" t="s">
        <v>182</v>
      </c>
      <c r="J28" s="9" t="s">
        <v>183</v>
      </c>
      <c r="K28" s="15" t="s">
        <v>184</v>
      </c>
      <c r="L28" s="9" t="s">
        <v>51</v>
      </c>
      <c r="M28" s="9" t="s">
        <v>15</v>
      </c>
      <c r="N28" s="9" t="s">
        <v>5</v>
      </c>
      <c r="O28" s="19" t="s">
        <v>185</v>
      </c>
    </row>
    <row r="29" ht="48" customHeight="1" spans="1:15">
      <c r="A29" s="10" t="s">
        <v>186</v>
      </c>
      <c r="B29" s="11" t="s">
        <v>187</v>
      </c>
      <c r="C29" s="11" t="s">
        <v>42</v>
      </c>
      <c r="D29" s="11" t="s">
        <v>188</v>
      </c>
      <c r="E29" s="16" t="s">
        <v>44</v>
      </c>
      <c r="F29" s="16" t="s">
        <v>189</v>
      </c>
      <c r="G29" s="16" t="s">
        <v>46</v>
      </c>
      <c r="H29" s="16" t="s">
        <v>108</v>
      </c>
      <c r="I29" s="11" t="s">
        <v>88</v>
      </c>
      <c r="J29" s="11" t="s">
        <v>190</v>
      </c>
      <c r="K29" s="16" t="s">
        <v>191</v>
      </c>
      <c r="L29" s="11" t="s">
        <v>51</v>
      </c>
      <c r="M29" s="11" t="s">
        <v>15</v>
      </c>
      <c r="N29" s="11" t="s">
        <v>5</v>
      </c>
      <c r="O29" s="20" t="s">
        <v>192</v>
      </c>
    </row>
    <row r="30" ht="48" customHeight="1" spans="1:15">
      <c r="A30" s="10" t="s">
        <v>193</v>
      </c>
      <c r="B30" s="11" t="s">
        <v>187</v>
      </c>
      <c r="C30" s="11" t="s">
        <v>194</v>
      </c>
      <c r="D30" s="11" t="s">
        <v>81</v>
      </c>
      <c r="E30" s="16" t="s">
        <v>127</v>
      </c>
      <c r="F30" s="16" t="s">
        <v>195</v>
      </c>
      <c r="G30" s="16" t="s">
        <v>46</v>
      </c>
      <c r="H30" s="16" t="s">
        <v>196</v>
      </c>
      <c r="I30" s="11" t="s">
        <v>101</v>
      </c>
      <c r="J30" s="11" t="s">
        <v>197</v>
      </c>
      <c r="K30" s="16" t="s">
        <v>198</v>
      </c>
      <c r="L30" s="11" t="s">
        <v>51</v>
      </c>
      <c r="M30" s="11" t="s">
        <v>15</v>
      </c>
      <c r="N30" s="11" t="s">
        <v>5</v>
      </c>
      <c r="O30" s="20" t="s">
        <v>192</v>
      </c>
    </row>
    <row r="31" ht="48" customHeight="1" spans="1:15">
      <c r="A31" s="10" t="s">
        <v>199</v>
      </c>
      <c r="B31" s="11" t="s">
        <v>187</v>
      </c>
      <c r="C31" s="11" t="s">
        <v>73</v>
      </c>
      <c r="D31" s="11" t="s">
        <v>81</v>
      </c>
      <c r="E31" s="16" t="s">
        <v>127</v>
      </c>
      <c r="F31" s="16" t="s">
        <v>200</v>
      </c>
      <c r="G31" s="16" t="s">
        <v>46</v>
      </c>
      <c r="H31" s="16" t="s">
        <v>196</v>
      </c>
      <c r="I31" s="11" t="s">
        <v>101</v>
      </c>
      <c r="J31" s="11" t="s">
        <v>201</v>
      </c>
      <c r="K31" s="16" t="s">
        <v>202</v>
      </c>
      <c r="L31" s="11" t="s">
        <v>51</v>
      </c>
      <c r="M31" s="11" t="s">
        <v>15</v>
      </c>
      <c r="N31" s="11" t="s">
        <v>5</v>
      </c>
      <c r="O31" s="20" t="s">
        <v>192</v>
      </c>
    </row>
    <row r="32" ht="48" customHeight="1" spans="1:15">
      <c r="A32" s="10" t="s">
        <v>203</v>
      </c>
      <c r="B32" s="11" t="s">
        <v>204</v>
      </c>
      <c r="C32" s="11" t="s">
        <v>205</v>
      </c>
      <c r="D32" s="11" t="s">
        <v>81</v>
      </c>
      <c r="E32" s="16" t="s">
        <v>74</v>
      </c>
      <c r="F32" s="16" t="s">
        <v>206</v>
      </c>
      <c r="G32" s="16" t="s">
        <v>46</v>
      </c>
      <c r="H32" s="16" t="s">
        <v>108</v>
      </c>
      <c r="I32" s="11" t="s">
        <v>101</v>
      </c>
      <c r="J32" s="11" t="s">
        <v>207</v>
      </c>
      <c r="K32" s="16" t="s">
        <v>208</v>
      </c>
      <c r="L32" s="11" t="s">
        <v>68</v>
      </c>
      <c r="M32" s="11" t="s">
        <v>15</v>
      </c>
      <c r="N32" s="11" t="s">
        <v>5</v>
      </c>
      <c r="O32" s="20" t="s">
        <v>192</v>
      </c>
    </row>
    <row r="33" ht="48" customHeight="1" spans="1:15">
      <c r="A33" s="10" t="s">
        <v>209</v>
      </c>
      <c r="B33" s="11" t="s">
        <v>210</v>
      </c>
      <c r="C33" s="11" t="s">
        <v>205</v>
      </c>
      <c r="D33" s="11" t="s">
        <v>81</v>
      </c>
      <c r="E33" s="16" t="s">
        <v>74</v>
      </c>
      <c r="F33" s="16" t="s">
        <v>211</v>
      </c>
      <c r="G33" s="16" t="s">
        <v>46</v>
      </c>
      <c r="H33" s="16" t="s">
        <v>108</v>
      </c>
      <c r="I33" s="11" t="s">
        <v>101</v>
      </c>
      <c r="J33" s="11" t="s">
        <v>212</v>
      </c>
      <c r="K33" s="16" t="s">
        <v>213</v>
      </c>
      <c r="L33" s="11" t="s">
        <v>68</v>
      </c>
      <c r="M33" s="11" t="s">
        <v>15</v>
      </c>
      <c r="N33" s="11" t="s">
        <v>5</v>
      </c>
      <c r="O33" s="20" t="s">
        <v>192</v>
      </c>
    </row>
    <row r="34" s="3" customFormat="1" ht="48" customHeight="1" spans="1:15">
      <c r="A34" s="8" t="s">
        <v>214</v>
      </c>
      <c r="B34" s="9" t="s">
        <v>215</v>
      </c>
      <c r="C34" s="9" t="s">
        <v>108</v>
      </c>
      <c r="D34" s="9" t="s">
        <v>43</v>
      </c>
      <c r="E34" s="15" t="s">
        <v>108</v>
      </c>
      <c r="F34" s="15" t="s">
        <v>108</v>
      </c>
      <c r="G34" s="15" t="s">
        <v>108</v>
      </c>
      <c r="H34" s="15" t="s">
        <v>47</v>
      </c>
      <c r="I34" s="9" t="s">
        <v>48</v>
      </c>
      <c r="J34" s="9" t="s">
        <v>216</v>
      </c>
      <c r="K34" s="15" t="s">
        <v>217</v>
      </c>
      <c r="L34" s="9" t="s">
        <v>51</v>
      </c>
      <c r="M34" s="9" t="s">
        <v>18</v>
      </c>
      <c r="N34" s="9" t="s">
        <v>52</v>
      </c>
      <c r="O34" s="19" t="s">
        <v>5</v>
      </c>
    </row>
    <row r="35" ht="48" customHeight="1" spans="1:15">
      <c r="A35" s="10" t="s">
        <v>218</v>
      </c>
      <c r="B35" s="11" t="s">
        <v>219</v>
      </c>
      <c r="C35" s="11" t="s">
        <v>63</v>
      </c>
      <c r="D35" s="11" t="s">
        <v>81</v>
      </c>
      <c r="E35" s="16" t="s">
        <v>64</v>
      </c>
      <c r="F35" s="16" t="s">
        <v>121</v>
      </c>
      <c r="G35" s="16" t="s">
        <v>47</v>
      </c>
      <c r="H35" s="16" t="s">
        <v>47</v>
      </c>
      <c r="I35" s="11" t="s">
        <v>95</v>
      </c>
      <c r="J35" s="11" t="s">
        <v>220</v>
      </c>
      <c r="K35" s="16" t="s">
        <v>221</v>
      </c>
      <c r="L35" s="11" t="s">
        <v>68</v>
      </c>
      <c r="M35" s="11" t="s">
        <v>18</v>
      </c>
      <c r="N35" s="11" t="s">
        <v>5</v>
      </c>
      <c r="O35" s="20" t="s">
        <v>5</v>
      </c>
    </row>
    <row r="36" ht="48" customHeight="1" spans="1:15">
      <c r="A36" s="10" t="s">
        <v>222</v>
      </c>
      <c r="B36" s="11" t="s">
        <v>219</v>
      </c>
      <c r="C36" s="11" t="s">
        <v>223</v>
      </c>
      <c r="D36" s="11" t="s">
        <v>81</v>
      </c>
      <c r="E36" s="16" t="s">
        <v>224</v>
      </c>
      <c r="F36" s="16" t="s">
        <v>108</v>
      </c>
      <c r="G36" s="16" t="s">
        <v>108</v>
      </c>
      <c r="H36" s="16" t="s">
        <v>108</v>
      </c>
      <c r="I36" s="11" t="s">
        <v>101</v>
      </c>
      <c r="J36" s="11" t="s">
        <v>225</v>
      </c>
      <c r="K36" s="16" t="s">
        <v>226</v>
      </c>
      <c r="L36" s="11" t="s">
        <v>51</v>
      </c>
      <c r="M36" s="11" t="s">
        <v>18</v>
      </c>
      <c r="N36" s="11" t="s">
        <v>5</v>
      </c>
      <c r="O36" s="20" t="s">
        <v>5</v>
      </c>
    </row>
    <row r="37" ht="48" customHeight="1" spans="1:15">
      <c r="A37" s="10" t="s">
        <v>227</v>
      </c>
      <c r="B37" s="11" t="s">
        <v>228</v>
      </c>
      <c r="C37" s="11" t="s">
        <v>223</v>
      </c>
      <c r="D37" s="11" t="s">
        <v>81</v>
      </c>
      <c r="E37" s="16" t="s">
        <v>44</v>
      </c>
      <c r="F37" s="16" t="s">
        <v>108</v>
      </c>
      <c r="G37" s="16" t="s">
        <v>108</v>
      </c>
      <c r="H37" s="16" t="s">
        <v>108</v>
      </c>
      <c r="I37" s="11" t="s">
        <v>229</v>
      </c>
      <c r="J37" s="11" t="s">
        <v>230</v>
      </c>
      <c r="K37" s="16" t="s">
        <v>231</v>
      </c>
      <c r="L37" s="11" t="s">
        <v>51</v>
      </c>
      <c r="M37" s="11" t="s">
        <v>18</v>
      </c>
      <c r="N37" s="11" t="s">
        <v>5</v>
      </c>
      <c r="O37" s="20" t="s">
        <v>5</v>
      </c>
    </row>
    <row r="38" ht="48" customHeight="1" spans="1:15">
      <c r="A38" s="10" t="s">
        <v>232</v>
      </c>
      <c r="B38" s="11" t="s">
        <v>233</v>
      </c>
      <c r="C38" s="11" t="s">
        <v>223</v>
      </c>
      <c r="D38" s="11" t="s">
        <v>81</v>
      </c>
      <c r="E38" s="16" t="s">
        <v>44</v>
      </c>
      <c r="F38" s="16" t="s">
        <v>108</v>
      </c>
      <c r="G38" s="16" t="s">
        <v>108</v>
      </c>
      <c r="H38" s="16" t="s">
        <v>108</v>
      </c>
      <c r="I38" s="11" t="s">
        <v>229</v>
      </c>
      <c r="J38" s="11" t="s">
        <v>234</v>
      </c>
      <c r="K38" s="16" t="s">
        <v>235</v>
      </c>
      <c r="L38" s="11" t="s">
        <v>51</v>
      </c>
      <c r="M38" s="11" t="s">
        <v>18</v>
      </c>
      <c r="N38" s="11" t="s">
        <v>5</v>
      </c>
      <c r="O38" s="20" t="s">
        <v>236</v>
      </c>
    </row>
    <row r="39" ht="48" customHeight="1" spans="1:15">
      <c r="A39" s="10" t="s">
        <v>237</v>
      </c>
      <c r="B39" s="11" t="s">
        <v>238</v>
      </c>
      <c r="C39" s="11" t="s">
        <v>73</v>
      </c>
      <c r="D39" s="11" t="s">
        <v>81</v>
      </c>
      <c r="E39" s="16" t="s">
        <v>64</v>
      </c>
      <c r="F39" s="16" t="s">
        <v>121</v>
      </c>
      <c r="G39" s="16" t="s">
        <v>47</v>
      </c>
      <c r="H39" s="16" t="s">
        <v>47</v>
      </c>
      <c r="I39" s="11" t="s">
        <v>95</v>
      </c>
      <c r="J39" s="11" t="s">
        <v>239</v>
      </c>
      <c r="K39" s="16" t="s">
        <v>240</v>
      </c>
      <c r="L39" s="11" t="s">
        <v>68</v>
      </c>
      <c r="M39" s="11" t="s">
        <v>18</v>
      </c>
      <c r="N39" s="11" t="s">
        <v>5</v>
      </c>
      <c r="O39" s="20" t="s">
        <v>241</v>
      </c>
    </row>
    <row r="40" ht="48" customHeight="1" spans="1:15">
      <c r="A40" s="10" t="s">
        <v>242</v>
      </c>
      <c r="B40" s="11" t="s">
        <v>238</v>
      </c>
      <c r="C40" s="11" t="s">
        <v>205</v>
      </c>
      <c r="D40" s="11" t="s">
        <v>81</v>
      </c>
      <c r="E40" s="16" t="s">
        <v>243</v>
      </c>
      <c r="F40" s="16" t="s">
        <v>108</v>
      </c>
      <c r="G40" s="16" t="s">
        <v>108</v>
      </c>
      <c r="H40" s="16" t="s">
        <v>108</v>
      </c>
      <c r="I40" s="11" t="s">
        <v>101</v>
      </c>
      <c r="J40" s="11" t="s">
        <v>244</v>
      </c>
      <c r="K40" s="16" t="s">
        <v>245</v>
      </c>
      <c r="L40" s="11" t="s">
        <v>51</v>
      </c>
      <c r="M40" s="11" t="s">
        <v>18</v>
      </c>
      <c r="N40" s="11" t="s">
        <v>5</v>
      </c>
      <c r="O40" s="20" t="s">
        <v>246</v>
      </c>
    </row>
    <row r="41" ht="48" customHeight="1" spans="1:15">
      <c r="A41" s="10" t="s">
        <v>247</v>
      </c>
      <c r="B41" s="11" t="s">
        <v>248</v>
      </c>
      <c r="C41" s="11" t="s">
        <v>205</v>
      </c>
      <c r="D41" s="11" t="s">
        <v>81</v>
      </c>
      <c r="E41" s="16" t="s">
        <v>44</v>
      </c>
      <c r="F41" s="16" t="s">
        <v>108</v>
      </c>
      <c r="G41" s="16" t="s">
        <v>249</v>
      </c>
      <c r="H41" s="16" t="s">
        <v>108</v>
      </c>
      <c r="I41" s="11" t="s">
        <v>101</v>
      </c>
      <c r="J41" s="11" t="s">
        <v>250</v>
      </c>
      <c r="K41" s="16" t="s">
        <v>251</v>
      </c>
      <c r="L41" s="11" t="s">
        <v>51</v>
      </c>
      <c r="M41" s="11" t="s">
        <v>18</v>
      </c>
      <c r="N41" s="11" t="s">
        <v>5</v>
      </c>
      <c r="O41" s="20" t="s">
        <v>5</v>
      </c>
    </row>
    <row r="42" ht="48" customHeight="1" spans="1:15">
      <c r="A42" s="10" t="s">
        <v>252</v>
      </c>
      <c r="B42" s="11" t="s">
        <v>253</v>
      </c>
      <c r="C42" s="11" t="s">
        <v>42</v>
      </c>
      <c r="D42" s="11" t="s">
        <v>81</v>
      </c>
      <c r="E42" s="16" t="s">
        <v>44</v>
      </c>
      <c r="F42" s="16" t="s">
        <v>45</v>
      </c>
      <c r="G42" s="16" t="s">
        <v>46</v>
      </c>
      <c r="H42" s="16" t="s">
        <v>108</v>
      </c>
      <c r="I42" s="11" t="s">
        <v>88</v>
      </c>
      <c r="J42" s="11" t="s">
        <v>254</v>
      </c>
      <c r="K42" s="16" t="s">
        <v>255</v>
      </c>
      <c r="L42" s="11" t="s">
        <v>51</v>
      </c>
      <c r="M42" s="11" t="s">
        <v>18</v>
      </c>
      <c r="N42" s="11" t="s">
        <v>5</v>
      </c>
      <c r="O42" s="20" t="s">
        <v>5</v>
      </c>
    </row>
    <row r="43" ht="48" customHeight="1" spans="1:15">
      <c r="A43" s="10" t="s">
        <v>256</v>
      </c>
      <c r="B43" s="11" t="s">
        <v>253</v>
      </c>
      <c r="C43" s="11" t="s">
        <v>42</v>
      </c>
      <c r="D43" s="11" t="s">
        <v>81</v>
      </c>
      <c r="E43" s="16" t="s">
        <v>44</v>
      </c>
      <c r="F43" s="16" t="s">
        <v>45</v>
      </c>
      <c r="G43" s="16" t="s">
        <v>87</v>
      </c>
      <c r="H43" s="16" t="s">
        <v>108</v>
      </c>
      <c r="I43" s="11" t="s">
        <v>88</v>
      </c>
      <c r="J43" s="11" t="s">
        <v>257</v>
      </c>
      <c r="K43" s="16" t="s">
        <v>258</v>
      </c>
      <c r="L43" s="11" t="s">
        <v>51</v>
      </c>
      <c r="M43" s="11" t="s">
        <v>15</v>
      </c>
      <c r="N43" s="11" t="s">
        <v>5</v>
      </c>
      <c r="O43" s="20" t="s">
        <v>236</v>
      </c>
    </row>
    <row r="44" ht="48" customHeight="1" spans="1:15">
      <c r="A44" s="10" t="s">
        <v>259</v>
      </c>
      <c r="B44" s="11" t="s">
        <v>253</v>
      </c>
      <c r="C44" s="11" t="s">
        <v>73</v>
      </c>
      <c r="D44" s="11" t="s">
        <v>81</v>
      </c>
      <c r="E44" s="16" t="s">
        <v>127</v>
      </c>
      <c r="F44" s="16" t="s">
        <v>75</v>
      </c>
      <c r="G44" s="16" t="s">
        <v>46</v>
      </c>
      <c r="H44" s="16" t="s">
        <v>260</v>
      </c>
      <c r="I44" s="11" t="s">
        <v>101</v>
      </c>
      <c r="J44" s="11" t="s">
        <v>261</v>
      </c>
      <c r="K44" s="16" t="s">
        <v>262</v>
      </c>
      <c r="L44" s="11" t="s">
        <v>51</v>
      </c>
      <c r="M44" s="11" t="s">
        <v>15</v>
      </c>
      <c r="N44" s="11" t="s">
        <v>5</v>
      </c>
      <c r="O44" s="20" t="s">
        <v>236</v>
      </c>
    </row>
    <row r="45" ht="48" customHeight="1" spans="1:15">
      <c r="A45" s="10" t="s">
        <v>263</v>
      </c>
      <c r="B45" s="11" t="s">
        <v>253</v>
      </c>
      <c r="C45" s="11" t="s">
        <v>73</v>
      </c>
      <c r="D45" s="11" t="s">
        <v>81</v>
      </c>
      <c r="E45" s="16" t="s">
        <v>127</v>
      </c>
      <c r="F45" s="16" t="s">
        <v>75</v>
      </c>
      <c r="G45" s="16" t="s">
        <v>46</v>
      </c>
      <c r="H45" s="16" t="s">
        <v>264</v>
      </c>
      <c r="I45" s="11" t="s">
        <v>101</v>
      </c>
      <c r="J45" s="11" t="s">
        <v>265</v>
      </c>
      <c r="K45" s="16" t="s">
        <v>266</v>
      </c>
      <c r="L45" s="11" t="s">
        <v>51</v>
      </c>
      <c r="M45" s="11" t="s">
        <v>18</v>
      </c>
      <c r="N45" s="11" t="s">
        <v>5</v>
      </c>
      <c r="O45" s="20" t="s">
        <v>241</v>
      </c>
    </row>
    <row r="46" ht="48" customHeight="1" spans="1:15">
      <c r="A46" s="10" t="s">
        <v>267</v>
      </c>
      <c r="B46" s="11" t="s">
        <v>253</v>
      </c>
      <c r="C46" s="11" t="s">
        <v>73</v>
      </c>
      <c r="D46" s="11" t="s">
        <v>81</v>
      </c>
      <c r="E46" s="16" t="s">
        <v>44</v>
      </c>
      <c r="F46" s="16" t="s">
        <v>75</v>
      </c>
      <c r="G46" s="16" t="s">
        <v>249</v>
      </c>
      <c r="H46" s="16" t="s">
        <v>268</v>
      </c>
      <c r="I46" s="11" t="s">
        <v>101</v>
      </c>
      <c r="J46" s="11" t="s">
        <v>269</v>
      </c>
      <c r="K46" s="16" t="s">
        <v>270</v>
      </c>
      <c r="L46" s="11" t="s">
        <v>51</v>
      </c>
      <c r="M46" s="11" t="s">
        <v>18</v>
      </c>
      <c r="N46" s="11" t="s">
        <v>5</v>
      </c>
      <c r="O46" s="20" t="s">
        <v>271</v>
      </c>
    </row>
    <row r="47" ht="48" customHeight="1" spans="1:15">
      <c r="A47" s="10" t="s">
        <v>272</v>
      </c>
      <c r="B47" s="11" t="s">
        <v>273</v>
      </c>
      <c r="C47" s="11" t="s">
        <v>274</v>
      </c>
      <c r="D47" s="11" t="s">
        <v>81</v>
      </c>
      <c r="E47" s="16" t="s">
        <v>275</v>
      </c>
      <c r="F47" s="16" t="s">
        <v>75</v>
      </c>
      <c r="G47" s="16" t="s">
        <v>46</v>
      </c>
      <c r="H47" s="16" t="s">
        <v>155</v>
      </c>
      <c r="I47" s="11" t="s">
        <v>101</v>
      </c>
      <c r="J47" s="11" t="s">
        <v>276</v>
      </c>
      <c r="K47" s="16" t="s">
        <v>277</v>
      </c>
      <c r="L47" s="11" t="s">
        <v>68</v>
      </c>
      <c r="M47" s="11" t="s">
        <v>18</v>
      </c>
      <c r="N47" s="11" t="s">
        <v>5</v>
      </c>
      <c r="O47" s="20" t="s">
        <v>278</v>
      </c>
    </row>
    <row r="48" ht="48" customHeight="1" spans="1:15">
      <c r="A48" s="10" t="s">
        <v>279</v>
      </c>
      <c r="B48" s="11" t="s">
        <v>280</v>
      </c>
      <c r="C48" s="11" t="s">
        <v>281</v>
      </c>
      <c r="D48" s="11" t="s">
        <v>81</v>
      </c>
      <c r="E48" s="16" t="s">
        <v>282</v>
      </c>
      <c r="F48" s="16" t="s">
        <v>283</v>
      </c>
      <c r="G48" s="16" t="s">
        <v>46</v>
      </c>
      <c r="H48" s="16" t="s">
        <v>108</v>
      </c>
      <c r="I48" s="11" t="s">
        <v>101</v>
      </c>
      <c r="J48" s="11" t="s">
        <v>284</v>
      </c>
      <c r="K48" s="16" t="s">
        <v>285</v>
      </c>
      <c r="L48" s="11" t="s">
        <v>68</v>
      </c>
      <c r="M48" s="11" t="s">
        <v>18</v>
      </c>
      <c r="N48" s="11" t="s">
        <v>5</v>
      </c>
      <c r="O48" s="20" t="s">
        <v>5</v>
      </c>
    </row>
    <row r="49" ht="72" customHeight="1" spans="1:15">
      <c r="A49" s="12" t="s">
        <v>286</v>
      </c>
      <c r="B49" s="13" t="s">
        <v>287</v>
      </c>
      <c r="C49" s="13" t="s">
        <v>288</v>
      </c>
      <c r="D49" s="13" t="s">
        <v>81</v>
      </c>
      <c r="E49" s="17" t="s">
        <v>289</v>
      </c>
      <c r="F49" s="17" t="s">
        <v>108</v>
      </c>
      <c r="G49" s="17" t="s">
        <v>249</v>
      </c>
      <c r="H49" s="17" t="s">
        <v>290</v>
      </c>
      <c r="I49" s="13" t="s">
        <v>176</v>
      </c>
      <c r="J49" s="13" t="s">
        <v>291</v>
      </c>
      <c r="K49" s="17" t="s">
        <v>292</v>
      </c>
      <c r="L49" s="13" t="s">
        <v>51</v>
      </c>
      <c r="M49" s="13" t="s">
        <v>18</v>
      </c>
      <c r="N49" s="13" t="s">
        <v>5</v>
      </c>
      <c r="O49" s="21" t="s">
        <v>293</v>
      </c>
    </row>
  </sheetData>
  <autoFilter ref="D1:D49">
    <extLst/>
  </autoFilter>
  <dataValidations count="2">
    <dataValidation type="list" sqref="L2:L49">
      <formula1>"P0,P1,P2"</formula1>
    </dataValidation>
    <dataValidation type="list" sqref="M2:M200">
      <formula1>"待测,通过,未通过,阻塞,不适用"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showGridLines="0" workbookViewId="0">
      <selection activeCell="A1" sqref="A1"/>
    </sheetView>
  </sheetViews>
  <sheetFormatPr defaultColWidth="9" defaultRowHeight="16.8" outlineLevelCol="1"/>
  <cols>
    <col min="1" max="1" width="22" customWidth="1"/>
    <col min="2" max="2" width="90" customWidth="1"/>
  </cols>
  <sheetData>
    <row r="1" ht="42" customHeight="1" spans="1:2">
      <c r="A1" s="1" t="s">
        <v>294</v>
      </c>
      <c r="B1" s="1" t="s">
        <v>295</v>
      </c>
    </row>
    <row r="2" ht="42" customHeight="1" spans="1:2">
      <c r="A2" s="2" t="s">
        <v>296</v>
      </c>
      <c r="B2" s="2" t="s">
        <v>297</v>
      </c>
    </row>
    <row r="3" ht="42" customHeight="1" spans="1:2">
      <c r="A3" s="2" t="s">
        <v>298</v>
      </c>
      <c r="B3" s="2" t="s">
        <v>299</v>
      </c>
    </row>
    <row r="4" ht="42" customHeight="1" spans="1:2">
      <c r="A4" s="2" t="s">
        <v>300</v>
      </c>
      <c r="B4" s="2" t="s">
        <v>301</v>
      </c>
    </row>
    <row r="5" ht="42" customHeight="1" spans="1:2">
      <c r="A5" s="2" t="s">
        <v>302</v>
      </c>
      <c r="B5" s="2" t="s">
        <v>303</v>
      </c>
    </row>
    <row r="6" ht="42" customHeight="1" spans="1:2">
      <c r="A6" s="2" t="s">
        <v>304</v>
      </c>
      <c r="B6" s="2" t="s">
        <v>305</v>
      </c>
    </row>
    <row r="7" ht="42" customHeight="1" spans="1:2">
      <c r="A7" s="2" t="s">
        <v>306</v>
      </c>
      <c r="B7" s="2" t="s">
        <v>307</v>
      </c>
    </row>
    <row r="8" ht="42" customHeight="1" spans="1:2">
      <c r="A8" s="2" t="s">
        <v>187</v>
      </c>
      <c r="B8" s="2" t="s">
        <v>308</v>
      </c>
    </row>
    <row r="9" ht="42" customHeight="1" spans="1:2">
      <c r="A9" s="2" t="s">
        <v>309</v>
      </c>
      <c r="B9" s="2" t="s">
        <v>310</v>
      </c>
    </row>
    <row r="10" ht="42" customHeight="1" spans="1:2">
      <c r="A10" s="2" t="s">
        <v>311</v>
      </c>
      <c r="B10" s="2" t="s">
        <v>312</v>
      </c>
    </row>
    <row r="11" ht="42" customHeight="1" spans="1:2">
      <c r="A11" s="2" t="s">
        <v>313</v>
      </c>
      <c r="B11" s="2" t="s">
        <v>314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总览</vt:lpstr>
      <vt:lpstr>详细用例</vt:lpstr>
      <vt:lpstr>规则与边界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锦毛鼠</cp:lastModifiedBy>
  <dcterms:created xsi:type="dcterms:W3CDTF">2026-07-14T13:26:27Z</dcterms:created>
  <dcterms:modified xsi:type="dcterms:W3CDTF">2026-07-14T16:05:25Z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3244BE71D6F85DF3DDE5556A379A72FF_42</vt:lpwstr>
  </property>
</Properties>
</file>